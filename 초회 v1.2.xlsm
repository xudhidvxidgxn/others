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others/"/>
    </mc:Choice>
  </mc:AlternateContent>
  <xr:revisionPtr revIDLastSave="175" documentId="8_{2EFC5D57-6136-4CD2-88F8-0CE0E47A529E}" xr6:coauthVersionLast="47" xr6:coauthVersionMax="47" xr10:uidLastSave="{410A8647-DC5E-4F38-9250-593DFF1513C8}"/>
  <bookViews>
    <workbookView xWindow="3900" yWindow="2310" windowWidth="21600" windowHeight="1129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R6" i="1" l="1"/>
  <c r="Q6" i="1"/>
  <c r="O6" i="1"/>
  <c r="P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<sst xmlns="http://schemas.openxmlformats.org/spreadsheetml/2006/main" count="32" uniqueCount="21">
  <si>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</si>
  <si>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</si>
  <si>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</si>
  <si>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</si>
  <si>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</si>
  <si>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</si>
  <si>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</si>
  <si>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</si>
  <si>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</si>
  <si>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</si>
  <si>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</si>
  <si>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</si>
  <si>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</si>
  <si>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</si>
  <si>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</si>
  <si>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</si>
  <si>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</si>
  <si>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</si>
  <si>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</si>
  <si>
    <t>캐릭터천장</t>
    <phoneticPr fontId="1" type="noConversion"/>
  </si>
  <si>
    <t>광추천장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</si>
</sst>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2" formatCode="* 0\ &quot;뽑&quot;\ "/>
    <numFmt numFmtId="183" formatCode="#,##0\ &quot;개&quot;\ "/>
    <numFmt numFmtId="184" formatCode="#,##0\ &quot;뽑&quot;\ "/>
    <numFmt numFmtId="185" formatCode="#,##0_);[Red]\(#,##0\)"/>
    <numFmt numFmtId="186" formatCode="#,##0\ &quot;스&quot;&quot;택&quot;\ "/>
    <numFmt numFmtId="187" formatCode="0\ &quot;개&quot;\ "/>
    <numFmt numFmtId="188" formatCode="0\ &quot;스&quot;&quot;택&quot;\ &quot;변&quot;&quot;동&quot;"/>
    <numFmt numFmtId="189" formatCode="#,##0\ "/>
    <numFmt numFmtId="190" formatCode="\ #,##0\ &quot;번&quot;\ "/>
    <numFmt numFmtId="191" formatCode="#,##0\ &quot;번&quot;\ "/>
  </numFmts>
  <fonts count="13" x14ac:knownFonts="1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  <font>
      <sz val="11"/>
      <color rgb="FF000000"/>
      <name val="구름 산스 400"/>
      <family val="3"/>
      <charset val="129"/>
    </font>
    <font>
      <sz val="9"/>
      <color rgb="FF000000"/>
      <name val="구름 산스 400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3" fontId="0" fillId="0" borderId="6" xfId="1" applyNumberFormat="1" applyFont="1" applyBorder="1" applyAlignment="1">
      <alignment horizontal="right" vertical="center" shrinkToFit="1"/>
    </xf>
    <xf numFmtId="184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5" fontId="0" fillId="0" borderId="14" xfId="1" applyNumberFormat="1" applyFon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2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86" fontId="0" fillId="0" borderId="7" xfId="1" applyNumberFormat="1" applyFont="1" applyBorder="1" applyAlignment="1">
      <alignment vertical="center" shrinkToFit="1"/>
    </xf>
    <xf numFmtId="186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5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86" fontId="0" fillId="0" borderId="20" xfId="0" applyNumberFormat="1" applyBorder="1" applyAlignment="1">
      <alignment vertical="center" shrinkToFit="1"/>
    </xf>
    <xf numFmtId="186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5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5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2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3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87" fontId="0" fillId="0" borderId="23" xfId="0" applyNumberFormat="1" applyBorder="1" applyAlignment="1">
      <alignment vertical="center" shrinkToFit="1"/>
    </xf>
    <xf numFmtId="188" fontId="10" fillId="0" borderId="0" xfId="0" applyNumberFormat="1" applyFont="1" applyAlignment="1">
      <alignment vertical="center" shrinkToFit="1"/>
    </xf>
    <xf numFmtId="176" fontId="9" fillId="2" borderId="0" xfId="0" applyNumberFormat="1" applyFont="1" applyFill="1" applyAlignment="1">
      <alignment horizontal="center" vertical="center" shrinkToFit="1"/>
    </xf>
    <xf numFmtId="0" fontId="9" fillId="2" borderId="0" xfId="0" applyFont="1" applyFill="1" applyAlignment="1">
      <alignment horizontal="center" vertical="center" shrinkToFit="1"/>
    </xf>
    <xf numFmtId="177" fontId="9" fillId="2" borderId="0" xfId="0" applyNumberFormat="1" applyFont="1" applyFill="1" applyAlignment="1">
      <alignment horizontal="center" vertical="center" shrinkToFit="1"/>
    </xf>
    <xf numFmtId="178" fontId="9" fillId="2" borderId="0" xfId="0" applyNumberFormat="1" applyFont="1" applyFill="1" applyAlignment="1">
      <alignment horizontal="center" vertical="center" shrinkToFit="1"/>
    </xf>
    <xf numFmtId="176" fontId="9" fillId="2" borderId="0" xfId="0" applyNumberFormat="1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177" fontId="9" fillId="2" borderId="0" xfId="0" applyNumberFormat="1" applyFont="1" applyFill="1" applyAlignment="1">
      <alignment horizontal="right" vertical="center" shrinkToFit="1"/>
    </xf>
    <xf numFmtId="182" fontId="9" fillId="2" borderId="0" xfId="0" applyNumberFormat="1" applyFont="1" applyFill="1" applyAlignment="1">
      <alignment horizontal="right" vertical="center" shrinkToFit="1"/>
    </xf>
    <xf numFmtId="181" fontId="9" fillId="2" borderId="0" xfId="0" applyNumberFormat="1" applyFont="1" applyFill="1" applyAlignment="1">
      <alignment horizontal="right" vertical="center" shrinkToFit="1"/>
    </xf>
    <xf numFmtId="180" fontId="9" fillId="2" borderId="0" xfId="0" applyNumberFormat="1" applyFont="1" applyFill="1" applyAlignment="1">
      <alignment horizontal="right" vertical="center" shrinkToFit="1"/>
    </xf>
    <xf numFmtId="0" fontId="9" fillId="2" borderId="0" xfId="0" applyFont="1" applyFill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3" fillId="2" borderId="0" xfId="0" applyNumberFormat="1" applyFont="1" applyFill="1" applyAlignment="1">
      <alignment horizontal="right" vertical="center" shrinkToFit="1"/>
    </xf>
    <xf numFmtId="0" fontId="0" fillId="2" borderId="0" xfId="0" applyFill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176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vertical="center" shrinkToFit="1"/>
    </xf>
    <xf numFmtId="178" fontId="0" fillId="2" borderId="0" xfId="0" applyNumberFormat="1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179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horizontal="right" vertical="center" shrinkToFit="1"/>
    </xf>
    <xf numFmtId="41" fontId="0" fillId="2" borderId="0" xfId="1" applyFont="1" applyFill="1" applyAlignment="1">
      <alignment vertical="center" shrinkToFit="1"/>
    </xf>
    <xf numFmtId="189" fontId="5" fillId="0" borderId="0" xfId="0" applyNumberFormat="1" applyFont="1">
      <alignment vertical="center"/>
    </xf>
    <xf numFmtId="18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90" fontId="8" fillId="0" borderId="6" xfId="0" applyNumberFormat="1" applyFont="1" applyBorder="1" applyAlignment="1">
      <alignment horizontal="right" vertical="center" shrinkToFit="1"/>
    </xf>
    <xf numFmtId="190" fontId="8" fillId="0" borderId="9" xfId="0" applyNumberFormat="1" applyFont="1" applyBorder="1" applyAlignment="1">
      <alignment horizontal="right" vertical="center" shrinkToFit="1"/>
    </xf>
    <xf numFmtId="0" fontId="5" fillId="2" borderId="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191" fontId="0" fillId="2" borderId="7" xfId="0" applyNumberFormat="1" applyFill="1" applyBorder="1" applyAlignment="1">
      <alignment vertical="center" shrinkToFit="1"/>
    </xf>
    <xf numFmtId="191" fontId="0" fillId="2" borderId="9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0" fontId="0" fillId="2" borderId="17" xfId="0" applyFill="1" applyBorder="1" applyAlignment="1">
      <alignment horizontal="center" vertical="center" shrinkToFit="1"/>
    </xf>
    <xf numFmtId="0" fontId="0" fillId="2" borderId="18" xfId="0" applyFill="1" applyBorder="1" applyAlignment="1">
      <alignment horizontal="center" vertical="center" shrinkToFit="1"/>
    </xf>
  </cellXfs>
  <cellStyles count="2">
    <cellStyle name="쉼표 [0]" xfId="1" builtinId="6"/>
    <cellStyle name="표준" xfId="0" builtinId="0"/>
  </cellStyles>
  <dxfs count="3">
    <dxf>
      <numFmt numFmtId="192" formatCode="* 0"/>
    </dxf>
    <dxf>
      <numFmt numFmtId="193" formatCode="&quot;유&quot;&quot;효&quot;&quot;하&quot;&quot;지&quot;\ &quot;않&quot;&quot;음&quot;\ "/>
    </dxf>
    <dxf>
      <numFmt numFmtId="192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17/10/relationships/person" Target="persons/person.xml"/><Relationship Id="rId4" Type="http://schemas.openxmlformats.org/officeDocument/2006/relationships/styles" Target="styles.xml"/><Relationship Id="rId9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캐릭터초기화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광추초기화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A1:Z100"/>
  <sheetViews>
    <sheetView tabSelected="1" zoomScaleNormal="100" workbookViewId="0">
      <selection activeCell="L9" sqref="L9"/>
    </sheetView>
  </sheetViews>
  <sheetFormatPr defaultRowHeight="15" x14ac:dyDescent="0.25"/>
  <cols>
    <col min="1" max="1" width="8.88671875" style="11"/>
    <col min="2" max="2" width="12" style="10" customWidth="1"/>
    <col min="3" max="3" width="8.88671875" style="11"/>
    <col min="4" max="4" width="8.88671875" style="12"/>
    <col min="5" max="5" width="8.88671875" style="44"/>
    <col min="6" max="7" width="9.88671875" style="11" customWidth="1"/>
    <col min="8" max="8" width="2.5546875" style="11" customWidth="1"/>
    <col min="9" max="9" width="10.6640625" style="11" customWidth="1"/>
    <col min="10" max="10" width="12.77734375" style="11" customWidth="1"/>
    <col min="11" max="11" width="8.88671875" style="11"/>
    <col min="12" max="12" width="14.33203125" style="11" customWidth="1"/>
    <col min="13" max="13" width="3.77734375" style="11" customWidth="1"/>
    <col min="14" max="14" width="2.5546875" style="11" customWidth="1"/>
    <col min="15" max="17" width="8.88671875" style="11"/>
    <col min="18" max="26" width="8.88671875" style="59"/>
    <col min="27" max="16384" width="8.88671875" style="11"/>
  </cols>
  <sheetData>
    <row r="1" spans="1:26" x14ac:dyDescent="0.25">
      <c r="A1" s="59"/>
      <c r="B1" s="61"/>
      <c r="C1" s="59"/>
      <c r="D1" s="62"/>
      <c r="E1" s="63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</row>
    <row r="2" spans="1:26" ht="15.75" thickBot="1" x14ac:dyDescent="0.3">
      <c r="A2" s="59"/>
      <c r="B2" s="61"/>
      <c r="C2" s="59"/>
      <c r="D2" s="62"/>
      <c r="E2" s="63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</row>
    <row r="3" spans="1:26" s="18" customFormat="1" x14ac:dyDescent="0.25">
      <c r="A3" s="60"/>
      <c r="B3" s="13" t="s">
        <v>1</v>
      </c>
      <c r="C3" s="14" t="s">
        <v>0</v>
      </c>
      <c r="D3" s="15" t="s">
        <v>2</v>
      </c>
      <c r="E3" s="16" t="s">
        <v>3</v>
      </c>
      <c r="F3" s="14" t="s">
        <v>4</v>
      </c>
      <c r="G3" s="17" t="s">
        <v>5</v>
      </c>
      <c r="H3" s="60"/>
      <c r="I3" s="19" t="s">
        <v>6</v>
      </c>
      <c r="J3" s="6">
        <f>INDEX($B$4:$B$9,MATCH(MAX($F$4:$F$9),$F$4:$F$9,0))</f>
        <v>19000</v>
      </c>
      <c r="K3" s="64"/>
      <c r="L3" s="79" t="s">
        <v>8</v>
      </c>
      <c r="M3" s="80"/>
      <c r="N3" s="60"/>
      <c r="O3" s="19" t="s">
        <v>16</v>
      </c>
      <c r="P3" s="17" t="s">
        <v>17</v>
      </c>
      <c r="Q3" s="60"/>
      <c r="R3" s="60"/>
      <c r="S3" s="60"/>
      <c r="T3" s="60"/>
      <c r="U3" s="60"/>
      <c r="V3" s="60"/>
      <c r="W3" s="60"/>
      <c r="X3" s="60"/>
      <c r="Y3" s="60"/>
      <c r="Z3" s="60"/>
    </row>
    <row r="4" spans="1:26" ht="15.75" thickBot="1" x14ac:dyDescent="0.3">
      <c r="A4" s="59"/>
      <c r="B4" s="7">
        <v>1200</v>
      </c>
      <c r="D4" s="20">
        <f>IF($C4,성옥표!$D4*2, 성옥표!$B4)</f>
        <v>60</v>
      </c>
      <c r="E4" s="21">
        <f t="shared" ref="E4:E9" si="0">QUOTIENT(D4,160)</f>
        <v>0</v>
      </c>
      <c r="F4" s="1">
        <f t="shared" ref="F4:F9" si="1">D4/B4-QUOTIENT(D4/B4,1)</f>
        <v>0.05</v>
      </c>
      <c r="G4" s="22">
        <f t="shared" ref="G4:G9" si="2">B4/D4</f>
        <v>20</v>
      </c>
      <c r="H4" s="59"/>
      <c r="I4" s="23" t="s">
        <v>4</v>
      </c>
      <c r="J4" s="3">
        <f>VLOOKUP($J$3,$B$4:$G$9,5,0)</f>
        <v>0.1031578947368421</v>
      </c>
      <c r="K4" s="59"/>
      <c r="L4" s="81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82"/>
      <c r="N4" s="59"/>
      <c r="O4" s="24">
        <v>34</v>
      </c>
      <c r="P4" s="25">
        <v>12</v>
      </c>
      <c r="Q4" s="59"/>
    </row>
    <row r="5" spans="1:26" ht="15.75" thickBot="1" x14ac:dyDescent="0.3">
      <c r="A5" s="59"/>
      <c r="B5" s="7">
        <v>5900</v>
      </c>
      <c r="C5" s="26" t="b">
        <v>0</v>
      </c>
      <c r="D5" s="20">
        <f>IF($C5,성옥표!$D5*2, 성옥표!$B5)</f>
        <v>330</v>
      </c>
      <c r="E5" s="21">
        <f t="shared" si="0"/>
        <v>2</v>
      </c>
      <c r="F5" s="1">
        <f t="shared" si="1"/>
        <v>5.5932203389830508E-2</v>
      </c>
      <c r="G5" s="22">
        <f t="shared" si="2"/>
        <v>17.878787878787879</v>
      </c>
      <c r="H5" s="59"/>
      <c r="I5" s="27" t="s">
        <v>5</v>
      </c>
      <c r="J5" s="28">
        <f>VLOOKUP($J$3,$B$4:$G$9,6,0)</f>
        <v>9.6938775510204085</v>
      </c>
      <c r="K5" s="59"/>
      <c r="L5" s="83"/>
      <c r="M5" s="84"/>
      <c r="N5" s="59"/>
      <c r="O5" s="77"/>
      <c r="P5" s="78"/>
      <c r="Q5" s="73" t="s">
        <v>19</v>
      </c>
      <c r="R5" s="74" t="s">
        <v>20</v>
      </c>
    </row>
    <row r="6" spans="1:26" ht="15.75" thickBot="1" x14ac:dyDescent="0.3">
      <c r="A6" s="59"/>
      <c r="B6" s="7">
        <v>19000</v>
      </c>
      <c r="C6" s="26" t="b">
        <v>1</v>
      </c>
      <c r="D6" s="20">
        <f>IF($C6,성옥표!$D6*2, 성옥표!$B6)</f>
        <v>1960</v>
      </c>
      <c r="E6" s="21">
        <f t="shared" si="0"/>
        <v>12</v>
      </c>
      <c r="F6" s="1">
        <f t="shared" si="1"/>
        <v>0.1031578947368421</v>
      </c>
      <c r="G6" s="22">
        <f t="shared" si="2"/>
        <v>9.6938775510204085</v>
      </c>
      <c r="H6" s="59"/>
      <c r="K6" s="59"/>
      <c r="L6" s="29"/>
      <c r="M6" s="30" t="s">
        <v>11</v>
      </c>
      <c r="N6" s="59"/>
      <c r="O6" s="31">
        <f>MOD(O4+$J$9, 90)</f>
        <v>34</v>
      </c>
      <c r="P6" s="32">
        <f>MOD(P4+$J$9, 80)</f>
        <v>12</v>
      </c>
      <c r="Q6" s="75">
        <f>QUOTIENT(O4+$J$9,90)</f>
        <v>0</v>
      </c>
      <c r="R6" s="76">
        <f>QUOTIENT(P4+$J$9,80)</f>
        <v>0</v>
      </c>
    </row>
    <row r="7" spans="1:26" x14ac:dyDescent="0.25">
      <c r="A7" s="59"/>
      <c r="B7" s="7">
        <v>37000</v>
      </c>
      <c r="C7" s="26" t="b">
        <v>0</v>
      </c>
      <c r="D7" s="20">
        <f>IF($C7,성옥표!$D7*2, 성옥표!$B7)</f>
        <v>2240</v>
      </c>
      <c r="E7" s="21">
        <f t="shared" si="0"/>
        <v>14</v>
      </c>
      <c r="F7" s="1">
        <f t="shared" si="1"/>
        <v>6.054054054054054E-2</v>
      </c>
      <c r="G7" s="22">
        <f t="shared" si="2"/>
        <v>16.517857142857142</v>
      </c>
      <c r="H7" s="59"/>
      <c r="I7" s="19" t="s">
        <v>7</v>
      </c>
      <c r="J7" s="6">
        <f>L4</f>
        <v>0</v>
      </c>
      <c r="K7" s="33" t="s">
        <v>18</v>
      </c>
      <c r="L7" s="34"/>
      <c r="M7" s="35" t="s">
        <v>10</v>
      </c>
      <c r="N7" s="59"/>
      <c r="O7" s="46">
        <v>10</v>
      </c>
      <c r="P7" s="46">
        <v>10</v>
      </c>
      <c r="Q7" s="59"/>
    </row>
    <row r="8" spans="1:26" ht="15.75" thickBot="1" x14ac:dyDescent="0.3">
      <c r="A8" s="59"/>
      <c r="B8" s="7">
        <v>65000</v>
      </c>
      <c r="C8" s="26" t="b">
        <v>0</v>
      </c>
      <c r="D8" s="20">
        <f>IF($C8,성옥표!$D8*2, 성옥표!$B8)</f>
        <v>3880</v>
      </c>
      <c r="E8" s="21">
        <f t="shared" si="0"/>
        <v>24</v>
      </c>
      <c r="F8" s="1">
        <f t="shared" si="1"/>
        <v>5.969230769230769E-2</v>
      </c>
      <c r="G8" s="22">
        <f t="shared" si="2"/>
        <v>16.75257731958763</v>
      </c>
      <c r="H8" s="59"/>
      <c r="I8" s="36" t="s">
        <v>2</v>
      </c>
      <c r="J8" s="4">
        <f>SUMPRODUCT($H$12:$H$17,$J$12:$J$17)+K8</f>
        <v>0</v>
      </c>
      <c r="K8" s="45">
        <v>0</v>
      </c>
      <c r="L8" s="37"/>
      <c r="M8" s="35" t="s">
        <v>9</v>
      </c>
      <c r="N8" s="59"/>
      <c r="Q8" s="59"/>
    </row>
    <row r="9" spans="1:26" ht="15.75" thickBot="1" x14ac:dyDescent="0.3">
      <c r="A9" s="59"/>
      <c r="B9" s="8">
        <v>119000</v>
      </c>
      <c r="C9" s="38" t="b">
        <v>0</v>
      </c>
      <c r="D9" s="39">
        <f>IF($C9,성옥표!$D9*2, 성옥표!$B9)</f>
        <v>8080</v>
      </c>
      <c r="E9" s="40">
        <f t="shared" si="0"/>
        <v>50</v>
      </c>
      <c r="F9" s="2">
        <f t="shared" si="1"/>
        <v>6.7899159663865546E-2</v>
      </c>
      <c r="G9" s="28">
        <f t="shared" si="2"/>
        <v>14.727722772277227</v>
      </c>
      <c r="H9" s="59"/>
      <c r="I9" s="41" t="s">
        <v>3</v>
      </c>
      <c r="J9" s="5">
        <f>QUOTIENT($J$8,160)</f>
        <v>0</v>
      </c>
      <c r="K9" s="42">
        <f>MOD($J$8,160)</f>
        <v>0</v>
      </c>
      <c r="L9" s="9"/>
      <c r="M9" s="43"/>
      <c r="N9" s="59"/>
      <c r="Q9" s="59"/>
    </row>
    <row r="10" spans="1:26" ht="15.75" thickBot="1" x14ac:dyDescent="0.3">
      <c r="A10" s="59"/>
      <c r="B10" s="61"/>
      <c r="C10" s="59"/>
      <c r="D10" s="62"/>
      <c r="E10" s="65"/>
      <c r="F10" s="59"/>
      <c r="G10" s="59"/>
      <c r="H10" s="59"/>
      <c r="I10" s="59"/>
      <c r="J10" s="59"/>
      <c r="K10" s="66"/>
      <c r="L10" s="59"/>
      <c r="M10" s="59"/>
      <c r="N10" s="59"/>
      <c r="O10" s="59"/>
      <c r="P10" s="59"/>
      <c r="Q10" s="59"/>
    </row>
    <row r="11" spans="1:26" x14ac:dyDescent="0.25">
      <c r="A11" s="59"/>
      <c r="B11" s="47" t="s">
        <v>1</v>
      </c>
      <c r="C11" s="48" t="s">
        <v>0</v>
      </c>
      <c r="D11" s="49" t="s">
        <v>2</v>
      </c>
      <c r="E11" s="50" t="s">
        <v>3</v>
      </c>
      <c r="F11" s="48" t="s">
        <v>4</v>
      </c>
      <c r="G11" s="48" t="s">
        <v>5</v>
      </c>
      <c r="H11" s="59"/>
      <c r="I11" s="19" t="s">
        <v>1</v>
      </c>
      <c r="J11" s="17" t="s">
        <v>12</v>
      </c>
      <c r="K11" s="66"/>
      <c r="N11" s="59"/>
      <c r="Q11" s="59"/>
    </row>
    <row r="12" spans="1:26" x14ac:dyDescent="0.25">
      <c r="A12" s="59"/>
      <c r="B12" s="51">
        <v>1200</v>
      </c>
      <c r="C12" s="52"/>
      <c r="D12" s="53">
        <v>60</v>
      </c>
      <c r="E12" s="54">
        <v>0</v>
      </c>
      <c r="F12" s="55">
        <v>0.05</v>
      </c>
      <c r="G12" s="56">
        <v>20</v>
      </c>
      <c r="H12" s="58">
        <f>IF($C$9,성옥표!$D$9*2, 성옥표!$B$9)</f>
        <v>8080</v>
      </c>
      <c r="I12" s="7">
        <v>119000</v>
      </c>
      <c r="J12" s="71">
        <f>QUOTIENT($J$7, $B9)</f>
        <v>0</v>
      </c>
      <c r="K12" s="66"/>
      <c r="N12" s="59"/>
      <c r="Q12" s="59"/>
    </row>
    <row r="13" spans="1:26" x14ac:dyDescent="0.25">
      <c r="A13" s="59"/>
      <c r="B13" s="51">
        <v>5900</v>
      </c>
      <c r="C13" s="57" t="b">
        <v>0</v>
      </c>
      <c r="D13" s="53">
        <v>330</v>
      </c>
      <c r="E13" s="54">
        <v>2</v>
      </c>
      <c r="F13" s="55">
        <v>5.5932203389830508E-2</v>
      </c>
      <c r="G13" s="56">
        <v>17.878787878787879</v>
      </c>
      <c r="H13" s="58">
        <f>IF($C$8,성옥표!$D$8*2, 성옥표!$B$8)</f>
        <v>3880</v>
      </c>
      <c r="I13" s="7">
        <v>65000</v>
      </c>
      <c r="J13" s="71">
        <f>QUOTIENT($J$7-$J$12*$B$9, B8)</f>
        <v>0</v>
      </c>
      <c r="K13" s="59"/>
      <c r="L13" s="67"/>
      <c r="M13" s="59"/>
      <c r="N13" s="59"/>
      <c r="O13" s="59"/>
      <c r="P13" s="59"/>
      <c r="Q13" s="59"/>
    </row>
    <row r="14" spans="1:26" x14ac:dyDescent="0.25">
      <c r="A14" s="59"/>
      <c r="B14" s="51">
        <v>19000</v>
      </c>
      <c r="C14" s="57" t="b">
        <v>0</v>
      </c>
      <c r="D14" s="53">
        <v>980</v>
      </c>
      <c r="E14" s="54">
        <v>6</v>
      </c>
      <c r="F14" s="55">
        <v>5.1578947368421051E-2</v>
      </c>
      <c r="G14" s="56">
        <v>19.387755102040817</v>
      </c>
      <c r="H14" s="58">
        <f>IF($C$7,성옥표!$D$7*2, 성옥표!$B$7)</f>
        <v>2240</v>
      </c>
      <c r="I14" s="7">
        <v>37000</v>
      </c>
      <c r="J14" s="71">
        <f>QUOTIENT($J$7-$J$12*$B$9-$J$13*$B$8, B7)</f>
        <v>0</v>
      </c>
      <c r="K14" s="59"/>
      <c r="L14" s="59"/>
      <c r="M14" s="59"/>
      <c r="N14" s="59"/>
      <c r="O14" s="59"/>
      <c r="P14" s="59"/>
      <c r="Q14" s="59"/>
    </row>
    <row r="15" spans="1:26" x14ac:dyDescent="0.25">
      <c r="A15" s="59"/>
      <c r="B15" s="51">
        <v>37000</v>
      </c>
      <c r="C15" s="57" t="b">
        <v>0</v>
      </c>
      <c r="D15" s="53">
        <v>2240</v>
      </c>
      <c r="E15" s="54">
        <v>14</v>
      </c>
      <c r="F15" s="55">
        <v>6.054054054054054E-2</v>
      </c>
      <c r="G15" s="56">
        <v>16.517857142857142</v>
      </c>
      <c r="H15" s="58">
        <f>IF($C$6,성옥표!$D$6*2, 성옥표!$B$6)</f>
        <v>1960</v>
      </c>
      <c r="I15" s="7">
        <v>19000</v>
      </c>
      <c r="J15" s="71">
        <f>QUOTIENT($J$7-$J$12*$B$9-$J$13*$B$8-$J$14*$B$7, B6)</f>
        <v>0</v>
      </c>
      <c r="K15" s="59"/>
      <c r="L15" s="59"/>
      <c r="M15" s="59"/>
      <c r="N15" s="59"/>
      <c r="O15" s="59"/>
      <c r="P15" s="59"/>
      <c r="Q15" s="59"/>
    </row>
    <row r="16" spans="1:26" x14ac:dyDescent="0.25">
      <c r="A16" s="59"/>
      <c r="B16" s="51">
        <v>65000</v>
      </c>
      <c r="C16" s="57" t="b">
        <v>0</v>
      </c>
      <c r="D16" s="53">
        <v>3880</v>
      </c>
      <c r="E16" s="54">
        <v>24</v>
      </c>
      <c r="F16" s="55">
        <v>5.969230769230769E-2</v>
      </c>
      <c r="G16" s="56">
        <v>16.75257731958763</v>
      </c>
      <c r="H16" s="58">
        <f>IF($C$5,성옥표!$D$5*2, 성옥표!$B$5)</f>
        <v>330</v>
      </c>
      <c r="I16" s="7">
        <v>5900</v>
      </c>
      <c r="J16" s="71">
        <f>QUOTIENT($J$7-$J$12*$B$9-$J$13*$B$8-$J$14*$B$7-$J$15*$B$6, B5)</f>
        <v>0</v>
      </c>
      <c r="K16" s="59"/>
      <c r="L16" s="59"/>
      <c r="M16" s="59"/>
      <c r="N16" s="59"/>
      <c r="O16" s="59"/>
      <c r="P16" s="59"/>
      <c r="Q16" s="59"/>
    </row>
    <row r="17" spans="1:17" ht="15.75" thickBot="1" x14ac:dyDescent="0.3">
      <c r="A17" s="59"/>
      <c r="B17" s="51">
        <v>119000</v>
      </c>
      <c r="C17" s="57" t="b">
        <v>0</v>
      </c>
      <c r="D17" s="53">
        <v>8080</v>
      </c>
      <c r="E17" s="54">
        <v>50</v>
      </c>
      <c r="F17" s="55">
        <v>6.7899159663865546E-2</v>
      </c>
      <c r="G17" s="56">
        <v>14.727722772277227</v>
      </c>
      <c r="H17" s="58">
        <f>IF($C$4,성옥표!$D$4*2, 성옥표!$B$4)</f>
        <v>60</v>
      </c>
      <c r="I17" s="8">
        <v>1200</v>
      </c>
      <c r="J17" s="72">
        <f>QUOTIENT($J$7-$J$12*$B$9-$J$13*$B$8-$J$14*$B$7-$J$15*$B$6-$J$16*$B$5, B4)</f>
        <v>0</v>
      </c>
      <c r="K17" s="59"/>
      <c r="L17" s="59"/>
      <c r="M17" s="59"/>
      <c r="N17" s="59"/>
      <c r="O17" s="59"/>
      <c r="P17" s="59"/>
      <c r="Q17" s="59"/>
    </row>
    <row r="18" spans="1:17" x14ac:dyDescent="0.25">
      <c r="A18" s="59"/>
      <c r="B18" s="61"/>
      <c r="C18" s="59"/>
      <c r="D18" s="62"/>
      <c r="E18" s="65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</row>
    <row r="19" spans="1:17" x14ac:dyDescent="0.25">
      <c r="A19" s="59"/>
      <c r="B19" s="61"/>
      <c r="C19" s="59"/>
      <c r="D19" s="62"/>
      <c r="E19" s="65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</row>
    <row r="20" spans="1:17" x14ac:dyDescent="0.25">
      <c r="A20" s="59"/>
      <c r="B20" s="61"/>
      <c r="C20" s="59"/>
      <c r="D20" s="62"/>
      <c r="E20" s="65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</row>
    <row r="21" spans="1:17" x14ac:dyDescent="0.25">
      <c r="A21" s="59"/>
      <c r="B21" s="61"/>
      <c r="C21" s="59"/>
      <c r="D21" s="62"/>
      <c r="E21" s="65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</row>
    <row r="22" spans="1:17" x14ac:dyDescent="0.25">
      <c r="A22" s="59"/>
      <c r="B22" s="61"/>
      <c r="C22" s="59"/>
      <c r="D22" s="62"/>
      <c r="E22" s="65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</row>
    <row r="23" spans="1:17" x14ac:dyDescent="0.25">
      <c r="A23" s="59"/>
      <c r="B23" s="61"/>
      <c r="C23" s="59"/>
      <c r="D23" s="62"/>
      <c r="E23" s="65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</row>
    <row r="24" spans="1:17" x14ac:dyDescent="0.25">
      <c r="A24" s="59"/>
      <c r="B24" s="61"/>
      <c r="C24" s="59"/>
      <c r="D24" s="62"/>
      <c r="E24" s="65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</row>
    <row r="25" spans="1:17" x14ac:dyDescent="0.25">
      <c r="A25" s="59"/>
      <c r="B25" s="61"/>
      <c r="C25" s="59"/>
      <c r="D25" s="62"/>
      <c r="E25" s="65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</row>
    <row r="26" spans="1:17" x14ac:dyDescent="0.25">
      <c r="A26" s="59"/>
      <c r="B26" s="61"/>
      <c r="C26" s="59"/>
      <c r="D26" s="62"/>
      <c r="E26" s="65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</row>
    <row r="27" spans="1:17" x14ac:dyDescent="0.25">
      <c r="A27" s="59"/>
      <c r="B27" s="61"/>
      <c r="C27" s="59"/>
      <c r="D27" s="62"/>
      <c r="E27" s="65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</row>
    <row r="28" spans="1:17" x14ac:dyDescent="0.25">
      <c r="A28" s="59"/>
      <c r="B28" s="61"/>
      <c r="C28" s="59"/>
      <c r="D28" s="62"/>
      <c r="E28" s="65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</row>
    <row r="29" spans="1:17" x14ac:dyDescent="0.25">
      <c r="A29" s="59"/>
      <c r="B29" s="61"/>
      <c r="C29" s="59"/>
      <c r="D29" s="62"/>
      <c r="E29" s="65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</row>
    <row r="30" spans="1:17" x14ac:dyDescent="0.25">
      <c r="A30" s="59"/>
      <c r="B30" s="61"/>
      <c r="C30" s="59"/>
      <c r="D30" s="62"/>
      <c r="E30" s="65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1:17" s="59" customFormat="1" x14ac:dyDescent="0.25">
      <c r="B31" s="61"/>
      <c r="D31" s="62"/>
      <c r="E31" s="65"/>
    </row>
    <row r="32" spans="1:17" s="59" customFormat="1" x14ac:dyDescent="0.25">
      <c r="B32" s="61"/>
      <c r="D32" s="62"/>
      <c r="E32" s="65"/>
    </row>
    <row r="33" spans="2:5" s="59" customFormat="1" x14ac:dyDescent="0.25">
      <c r="B33" s="61"/>
      <c r="D33" s="62"/>
      <c r="E33" s="65"/>
    </row>
    <row r="34" spans="2:5" s="59" customFormat="1" x14ac:dyDescent="0.25">
      <c r="B34" s="61"/>
      <c r="D34" s="62"/>
      <c r="E34" s="65"/>
    </row>
    <row r="35" spans="2:5" s="59" customFormat="1" x14ac:dyDescent="0.25">
      <c r="B35" s="61"/>
      <c r="D35" s="62"/>
      <c r="E35" s="65"/>
    </row>
    <row r="36" spans="2:5" s="59" customFormat="1" x14ac:dyDescent="0.25">
      <c r="B36" s="61"/>
      <c r="D36" s="62"/>
      <c r="E36" s="65"/>
    </row>
    <row r="37" spans="2:5" s="59" customFormat="1" x14ac:dyDescent="0.25">
      <c r="B37" s="61"/>
      <c r="D37" s="62"/>
      <c r="E37" s="65"/>
    </row>
    <row r="38" spans="2:5" s="59" customFormat="1" x14ac:dyDescent="0.25">
      <c r="B38" s="61"/>
      <c r="D38" s="62"/>
      <c r="E38" s="65"/>
    </row>
    <row r="39" spans="2:5" s="59" customFormat="1" x14ac:dyDescent="0.25">
      <c r="B39" s="61"/>
      <c r="D39" s="62"/>
      <c r="E39" s="65"/>
    </row>
    <row r="40" spans="2:5" s="59" customFormat="1" x14ac:dyDescent="0.25">
      <c r="B40" s="61"/>
      <c r="D40" s="62"/>
      <c r="E40" s="65"/>
    </row>
    <row r="41" spans="2:5" s="59" customFormat="1" x14ac:dyDescent="0.25">
      <c r="B41" s="61"/>
      <c r="D41" s="62"/>
      <c r="E41" s="65"/>
    </row>
    <row r="42" spans="2:5" s="59" customFormat="1" x14ac:dyDescent="0.25">
      <c r="B42" s="61"/>
      <c r="D42" s="62"/>
      <c r="E42" s="65"/>
    </row>
    <row r="43" spans="2:5" s="59" customFormat="1" x14ac:dyDescent="0.25">
      <c r="B43" s="61"/>
      <c r="D43" s="62"/>
      <c r="E43" s="65"/>
    </row>
    <row r="44" spans="2:5" s="59" customFormat="1" x14ac:dyDescent="0.25">
      <c r="B44" s="61"/>
      <c r="D44" s="62"/>
      <c r="E44" s="65"/>
    </row>
    <row r="45" spans="2:5" s="59" customFormat="1" x14ac:dyDescent="0.25">
      <c r="B45" s="61"/>
      <c r="D45" s="62"/>
      <c r="E45" s="65"/>
    </row>
    <row r="46" spans="2:5" s="59" customFormat="1" x14ac:dyDescent="0.25">
      <c r="B46" s="61"/>
      <c r="D46" s="62"/>
      <c r="E46" s="65"/>
    </row>
    <row r="47" spans="2:5" s="59" customFormat="1" x14ac:dyDescent="0.25">
      <c r="B47" s="61"/>
      <c r="D47" s="62"/>
      <c r="E47" s="65"/>
    </row>
    <row r="48" spans="2:5" s="59" customFormat="1" x14ac:dyDescent="0.25">
      <c r="B48" s="61"/>
      <c r="D48" s="62"/>
      <c r="E48" s="65"/>
    </row>
    <row r="49" spans="2:5" s="59" customFormat="1" x14ac:dyDescent="0.25">
      <c r="B49" s="61"/>
      <c r="D49" s="62"/>
      <c r="E49" s="65"/>
    </row>
    <row r="50" spans="2:5" s="59" customFormat="1" x14ac:dyDescent="0.25">
      <c r="B50" s="61"/>
      <c r="D50" s="62"/>
      <c r="E50" s="65"/>
    </row>
    <row r="51" spans="2:5" s="59" customFormat="1" x14ac:dyDescent="0.25">
      <c r="B51" s="61"/>
      <c r="D51" s="62"/>
      <c r="E51" s="65"/>
    </row>
    <row r="52" spans="2:5" s="59" customFormat="1" x14ac:dyDescent="0.25">
      <c r="B52" s="61"/>
      <c r="D52" s="62"/>
      <c r="E52" s="65"/>
    </row>
    <row r="53" spans="2:5" s="59" customFormat="1" x14ac:dyDescent="0.25">
      <c r="B53" s="61"/>
      <c r="D53" s="62"/>
      <c r="E53" s="65"/>
    </row>
    <row r="54" spans="2:5" s="59" customFormat="1" x14ac:dyDescent="0.25">
      <c r="B54" s="61"/>
      <c r="D54" s="62"/>
      <c r="E54" s="65"/>
    </row>
    <row r="55" spans="2:5" s="59" customFormat="1" x14ac:dyDescent="0.25">
      <c r="B55" s="61"/>
      <c r="D55" s="62"/>
      <c r="E55" s="65"/>
    </row>
    <row r="56" spans="2:5" s="59" customFormat="1" x14ac:dyDescent="0.25">
      <c r="B56" s="61"/>
      <c r="D56" s="62"/>
      <c r="E56" s="65"/>
    </row>
    <row r="57" spans="2:5" s="59" customFormat="1" x14ac:dyDescent="0.25">
      <c r="B57" s="61"/>
      <c r="D57" s="62"/>
      <c r="E57" s="65"/>
    </row>
    <row r="58" spans="2:5" s="59" customFormat="1" x14ac:dyDescent="0.25">
      <c r="B58" s="61"/>
      <c r="D58" s="62"/>
      <c r="E58" s="65"/>
    </row>
    <row r="59" spans="2:5" s="59" customFormat="1" x14ac:dyDescent="0.25">
      <c r="B59" s="61"/>
      <c r="D59" s="62"/>
      <c r="E59" s="65"/>
    </row>
    <row r="60" spans="2:5" s="59" customFormat="1" x14ac:dyDescent="0.25">
      <c r="B60" s="61"/>
      <c r="D60" s="62"/>
      <c r="E60" s="65"/>
    </row>
    <row r="61" spans="2:5" s="59" customFormat="1" x14ac:dyDescent="0.25">
      <c r="B61" s="61"/>
      <c r="D61" s="62"/>
      <c r="E61" s="65"/>
    </row>
    <row r="62" spans="2:5" s="59" customFormat="1" x14ac:dyDescent="0.25">
      <c r="B62" s="61"/>
      <c r="D62" s="62"/>
      <c r="E62" s="65"/>
    </row>
    <row r="63" spans="2:5" s="59" customFormat="1" x14ac:dyDescent="0.25">
      <c r="B63" s="61"/>
      <c r="D63" s="62"/>
      <c r="E63" s="65"/>
    </row>
    <row r="64" spans="2:5" s="59" customFormat="1" x14ac:dyDescent="0.25">
      <c r="B64" s="61"/>
      <c r="D64" s="62"/>
      <c r="E64" s="65"/>
    </row>
    <row r="65" spans="2:5" s="59" customFormat="1" x14ac:dyDescent="0.25">
      <c r="B65" s="61"/>
      <c r="D65" s="62"/>
      <c r="E65" s="65"/>
    </row>
    <row r="66" spans="2:5" s="59" customFormat="1" x14ac:dyDescent="0.25">
      <c r="B66" s="61"/>
      <c r="D66" s="62"/>
      <c r="E66" s="65"/>
    </row>
    <row r="67" spans="2:5" s="59" customFormat="1" x14ac:dyDescent="0.25">
      <c r="B67" s="61"/>
      <c r="D67" s="62"/>
      <c r="E67" s="65"/>
    </row>
    <row r="68" spans="2:5" s="59" customFormat="1" x14ac:dyDescent="0.25">
      <c r="B68" s="61"/>
      <c r="D68" s="62"/>
      <c r="E68" s="65"/>
    </row>
    <row r="69" spans="2:5" s="59" customFormat="1" x14ac:dyDescent="0.25">
      <c r="B69" s="61"/>
      <c r="D69" s="62"/>
      <c r="E69" s="65"/>
    </row>
    <row r="70" spans="2:5" s="59" customFormat="1" x14ac:dyDescent="0.25">
      <c r="B70" s="61"/>
      <c r="D70" s="62"/>
      <c r="E70" s="65"/>
    </row>
    <row r="71" spans="2:5" s="59" customFormat="1" x14ac:dyDescent="0.25">
      <c r="B71" s="61"/>
      <c r="D71" s="62"/>
      <c r="E71" s="65"/>
    </row>
    <row r="72" spans="2:5" s="59" customFormat="1" x14ac:dyDescent="0.25">
      <c r="B72" s="61"/>
      <c r="D72" s="62"/>
      <c r="E72" s="65"/>
    </row>
    <row r="73" spans="2:5" s="59" customFormat="1" x14ac:dyDescent="0.25">
      <c r="B73" s="61"/>
      <c r="D73" s="62"/>
      <c r="E73" s="65"/>
    </row>
    <row r="74" spans="2:5" s="59" customFormat="1" x14ac:dyDescent="0.25">
      <c r="B74" s="61"/>
      <c r="D74" s="62"/>
      <c r="E74" s="65"/>
    </row>
    <row r="75" spans="2:5" s="59" customFormat="1" x14ac:dyDescent="0.25">
      <c r="B75" s="61"/>
      <c r="D75" s="62"/>
      <c r="E75" s="65"/>
    </row>
    <row r="76" spans="2:5" s="59" customFormat="1" x14ac:dyDescent="0.25">
      <c r="B76" s="61"/>
      <c r="D76" s="62"/>
      <c r="E76" s="65"/>
    </row>
    <row r="77" spans="2:5" s="59" customFormat="1" x14ac:dyDescent="0.25">
      <c r="B77" s="61"/>
      <c r="D77" s="62"/>
      <c r="E77" s="65"/>
    </row>
    <row r="78" spans="2:5" s="59" customFormat="1" x14ac:dyDescent="0.25">
      <c r="B78" s="61"/>
      <c r="D78" s="62"/>
      <c r="E78" s="65"/>
    </row>
    <row r="79" spans="2:5" s="59" customFormat="1" x14ac:dyDescent="0.25">
      <c r="B79" s="61"/>
      <c r="D79" s="62"/>
      <c r="E79" s="65"/>
    </row>
    <row r="80" spans="2:5" s="59" customFormat="1" x14ac:dyDescent="0.25">
      <c r="B80" s="61"/>
      <c r="D80" s="62"/>
      <c r="E80" s="65"/>
    </row>
    <row r="81" spans="2:5" s="59" customFormat="1" x14ac:dyDescent="0.25">
      <c r="B81" s="61"/>
      <c r="D81" s="62"/>
      <c r="E81" s="65"/>
    </row>
    <row r="82" spans="2:5" s="59" customFormat="1" x14ac:dyDescent="0.25">
      <c r="B82" s="61"/>
      <c r="D82" s="62"/>
      <c r="E82" s="65"/>
    </row>
    <row r="83" spans="2:5" s="59" customFormat="1" x14ac:dyDescent="0.25">
      <c r="B83" s="61"/>
      <c r="D83" s="62"/>
      <c r="E83" s="65"/>
    </row>
    <row r="84" spans="2:5" s="59" customFormat="1" x14ac:dyDescent="0.25">
      <c r="B84" s="61"/>
      <c r="D84" s="62"/>
      <c r="E84" s="65"/>
    </row>
    <row r="85" spans="2:5" s="59" customFormat="1" x14ac:dyDescent="0.25">
      <c r="B85" s="61"/>
      <c r="D85" s="62"/>
      <c r="E85" s="65"/>
    </row>
    <row r="86" spans="2:5" s="59" customFormat="1" x14ac:dyDescent="0.25">
      <c r="B86" s="61"/>
      <c r="D86" s="62"/>
      <c r="E86" s="65"/>
    </row>
    <row r="87" spans="2:5" s="59" customFormat="1" x14ac:dyDescent="0.25">
      <c r="B87" s="61"/>
      <c r="D87" s="62"/>
      <c r="E87" s="65"/>
    </row>
    <row r="88" spans="2:5" s="59" customFormat="1" x14ac:dyDescent="0.25">
      <c r="B88" s="61"/>
      <c r="D88" s="62"/>
      <c r="E88" s="65"/>
    </row>
    <row r="89" spans="2:5" s="59" customFormat="1" x14ac:dyDescent="0.25">
      <c r="B89" s="61"/>
      <c r="D89" s="62"/>
      <c r="E89" s="65"/>
    </row>
    <row r="90" spans="2:5" s="59" customFormat="1" x14ac:dyDescent="0.25">
      <c r="B90" s="61"/>
      <c r="D90" s="62"/>
      <c r="E90" s="65"/>
    </row>
    <row r="91" spans="2:5" s="59" customFormat="1" x14ac:dyDescent="0.25">
      <c r="B91" s="61"/>
      <c r="D91" s="62"/>
      <c r="E91" s="65"/>
    </row>
    <row r="92" spans="2:5" s="59" customFormat="1" x14ac:dyDescent="0.25">
      <c r="B92" s="61"/>
      <c r="D92" s="62"/>
      <c r="E92" s="65"/>
    </row>
    <row r="93" spans="2:5" s="59" customFormat="1" x14ac:dyDescent="0.25">
      <c r="B93" s="61"/>
      <c r="D93" s="62"/>
      <c r="E93" s="65"/>
    </row>
    <row r="94" spans="2:5" s="59" customFormat="1" x14ac:dyDescent="0.25">
      <c r="B94" s="61"/>
      <c r="D94" s="62"/>
      <c r="E94" s="65"/>
    </row>
    <row r="95" spans="2:5" s="59" customFormat="1" x14ac:dyDescent="0.25">
      <c r="B95" s="61"/>
      <c r="D95" s="62"/>
      <c r="E95" s="65"/>
    </row>
    <row r="96" spans="2:5" s="59" customFormat="1" x14ac:dyDescent="0.25">
      <c r="B96" s="61"/>
      <c r="D96" s="62"/>
      <c r="E96" s="65"/>
    </row>
    <row r="97" spans="2:5" s="59" customFormat="1" x14ac:dyDescent="0.25">
      <c r="B97" s="61"/>
      <c r="D97" s="62"/>
      <c r="E97" s="65"/>
    </row>
    <row r="98" spans="2:5" s="59" customFormat="1" x14ac:dyDescent="0.25">
      <c r="B98" s="61"/>
      <c r="D98" s="62"/>
      <c r="E98" s="65"/>
    </row>
    <row r="99" spans="2:5" s="59" customFormat="1" x14ac:dyDescent="0.25">
      <c r="B99" s="61"/>
      <c r="D99" s="62"/>
      <c r="E99" s="65"/>
    </row>
    <row r="100" spans="2:5" s="59" customFormat="1" x14ac:dyDescent="0.25">
      <c r="B100" s="61"/>
      <c r="D100" s="62"/>
      <c r="E100" s="65"/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2" priority="3">
      <formula>QUOTIENT(G4, 1)=0</formula>
    </cfRule>
  </conditionalFormatting>
  <conditionalFormatting sqref="L4:M4">
    <cfRule type="expression" dxfId="1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3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:L9" xr:uid="{0CC525DB-7390-4A9F-9D50-5FC71DF7A751}">
      <formula1>NOT(ISERROR(L6+1))</formula1>
    </dataValidation>
    <dataValidation type="list" allowBlank="1" showInputMessage="1" showErrorMessage="1" sqref="C4:C9" xr:uid="{6725800F-FE69-4B83-B92E-9C7E23A7596C}">
      <formula1>", 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캐릭터스초기화">
                <anchor moveWithCells="1" siz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광추스초기화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G9" sqref="G9"/>
    </sheetView>
  </sheetViews>
  <sheetFormatPr defaultRowHeight="15" x14ac:dyDescent="0.25"/>
  <cols>
    <col min="1" max="1" width="7.21875" customWidth="1"/>
  </cols>
  <sheetData>
    <row r="3" spans="1:4" x14ac:dyDescent="0.25">
      <c r="B3" s="70" t="s">
        <v>13</v>
      </c>
      <c r="C3" s="70" t="s">
        <v>14</v>
      </c>
      <c r="D3" s="70" t="s">
        <v>15</v>
      </c>
    </row>
    <row r="4" spans="1:4" x14ac:dyDescent="0.25">
      <c r="A4" s="68">
        <v>1200</v>
      </c>
      <c r="B4" s="69">
        <f>D4+C4</f>
        <v>60</v>
      </c>
      <c r="C4" s="69">
        <v>0</v>
      </c>
      <c r="D4" s="69">
        <v>60</v>
      </c>
    </row>
    <row r="5" spans="1:4" x14ac:dyDescent="0.25">
      <c r="A5" s="68">
        <v>5900</v>
      </c>
      <c r="B5" s="69">
        <f t="shared" ref="B5:B9" si="0">D5+C5</f>
        <v>330</v>
      </c>
      <c r="C5" s="69">
        <v>30</v>
      </c>
      <c r="D5" s="69">
        <v>300</v>
      </c>
    </row>
    <row r="6" spans="1:4" x14ac:dyDescent="0.25">
      <c r="A6" s="68">
        <v>19000</v>
      </c>
      <c r="B6" s="69">
        <f t="shared" si="0"/>
        <v>980</v>
      </c>
      <c r="C6" s="69">
        <v>0</v>
      </c>
      <c r="D6" s="69">
        <v>980</v>
      </c>
    </row>
    <row r="7" spans="1:4" x14ac:dyDescent="0.25">
      <c r="A7" s="68">
        <v>37000</v>
      </c>
      <c r="B7" s="69">
        <f t="shared" si="0"/>
        <v>2240</v>
      </c>
      <c r="C7" s="69">
        <v>260</v>
      </c>
      <c r="D7" s="69">
        <v>1980</v>
      </c>
    </row>
    <row r="8" spans="1:4" x14ac:dyDescent="0.25">
      <c r="A8" s="68">
        <v>65000</v>
      </c>
      <c r="B8" s="69">
        <f t="shared" si="0"/>
        <v>3880</v>
      </c>
      <c r="C8" s="69">
        <v>600</v>
      </c>
      <c r="D8" s="69">
        <v>3280</v>
      </c>
    </row>
    <row r="9" spans="1:4" x14ac:dyDescent="0.25">
      <c r="A9" s="68">
        <v>119000</v>
      </c>
      <c r="B9" s="69">
        <f t="shared" si="0"/>
        <v>8080</v>
      </c>
      <c r="C9" s="69">
        <v>1600</v>
      </c>
      <c r="D9" s="6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2026-01-27T06:33:41Z</dcterms:modified>
</cp:coreProperties>
</file>