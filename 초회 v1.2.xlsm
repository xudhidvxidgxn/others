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Others/"/>
    </mc:Choice>
  </mc:AlternateContent>
  <xr:revisionPtr revIDLastSave="274" documentId="8_{2EFC5D57-6136-4CD2-88F8-0CE0E47A529E}" xr6:coauthVersionLast="47" xr6:coauthVersionMax="47" xr10:uidLastSave="{4C4109A9-184C-4E1E-AE85-9216AB916314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<sst xmlns="http://schemas.openxmlformats.org/spreadsheetml/2006/main" count="34" uniqueCount="22">
  <si>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</si>
  <si>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</si>
  <si>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</si>
  <si>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</si>
  <si>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</si>
  <si>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</si>
  <si>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</si>
  <si>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</si>
  <si>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</si>
  <si>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</si>
  <si>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</si>
  <si>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</si>
  <si>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</si>
  <si>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</si>
  <si>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</si>
  <si>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</si>
  <si>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</si>
  <si>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</si>
  <si>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</si>
  <si>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</si>
  <si>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</si>
  <si>
    <t>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</si>
</sst>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#,##0_);[Red]\(#,##0\)"/>
    <numFmt numFmtId="186" formatCode="#,##0\ &quot;스&quot;&quot;택&quot;\ "/>
    <numFmt numFmtId="187" formatCode="0\ &quot;개&quot;\ "/>
    <numFmt numFmtId="188" formatCode="0\ &quot;스&quot;&quot;택&quot;\ &quot;변&quot;&quot;동&quot;"/>
    <numFmt numFmtId="189" formatCode="#,##0\ "/>
    <numFmt numFmtId="190" formatCode="\ #,##0\ &quot;번&quot;\ "/>
    <numFmt numFmtId="191" formatCode="#,##0\ &quot;번&quot;\ "/>
  </numFmts>
  <fonts count="13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5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6" fontId="0" fillId="0" borderId="7" xfId="1" applyNumberFormat="1" applyFont="1" applyBorder="1" applyAlignment="1">
      <alignment vertical="center" shrinkToFit="1"/>
    </xf>
    <xf numFmtId="186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5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6" fontId="0" fillId="0" borderId="20" xfId="0" applyNumberFormat="1" applyBorder="1" applyAlignment="1">
      <alignment vertical="center" shrinkToFit="1"/>
    </xf>
    <xf numFmtId="186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5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5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7" fontId="0" fillId="0" borderId="23" xfId="0" applyNumberFormat="1" applyBorder="1" applyAlignment="1">
      <alignment vertical="center" shrinkToFit="1"/>
    </xf>
    <xf numFmtId="188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89" fontId="5" fillId="0" borderId="0" xfId="0" applyNumberFormat="1" applyFont="1">
      <alignment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0" fontId="8" fillId="0" borderId="6" xfId="0" applyNumberFormat="1" applyFont="1" applyBorder="1" applyAlignment="1">
      <alignment horizontal="right" vertical="center" shrinkToFit="1"/>
    </xf>
    <xf numFmtId="190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1" fontId="0" fillId="2" borderId="7" xfId="0" applyNumberFormat="1" applyFill="1" applyBorder="1" applyAlignment="1">
      <alignment vertical="center" shrinkToFit="1"/>
    </xf>
    <xf numFmtId="191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2" borderId="7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9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" xfId="0" applyFill="1" applyBorder="1" applyAlignment="1">
      <alignment horizontal="center" vertical="center" shrinkToFit="1"/>
    </xf>
    <xf numFmtId="0" fontId="0" fillId="2" borderId="4" xfId="0" applyFill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2" formatCode="* 0"/>
    </dxf>
    <dxf>
      <numFmt numFmtId="193" formatCode="&quot;유&quot;&quot;효&quot;&quot;하&quot;&quot;지&quot;\ &quot;않&quot;&quot;음&quot;\ "/>
    </dxf>
    <dxf>
      <numFmt numFmtId="192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81" t="s">
        <v>21</v>
      </c>
      <c r="P1" s="82" t="s">
        <v>21</v>
      </c>
      <c r="Q1" s="59"/>
    </row>
    <row r="2" spans="1:26" ht="15.75" thickBot="1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79" t="b">
        <v>0</v>
      </c>
      <c r="P2" s="80" t="b">
        <v>0</v>
      </c>
      <c r="Q2" s="59"/>
    </row>
    <row r="3" spans="1:26" s="18" customFormat="1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19000</v>
      </c>
      <c r="K3" s="64"/>
      <c r="L3" s="83" t="s">
        <v>8</v>
      </c>
      <c r="M3" s="84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0.1031578947368421</v>
      </c>
      <c r="K4" s="59"/>
      <c r="L4" s="85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86"/>
      <c r="N4" s="59"/>
      <c r="O4" s="24">
        <v>0</v>
      </c>
      <c r="P4" s="25">
        <v>21</v>
      </c>
      <c r="Q4" s="59"/>
    </row>
    <row r="5" spans="1:26" ht="15.75" thickBot="1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9.6938775510204085</v>
      </c>
      <c r="K5" s="59"/>
      <c r="L5" s="87"/>
      <c r="M5" s="88"/>
      <c r="N5" s="59"/>
      <c r="O5" s="77"/>
      <c r="P5" s="78"/>
      <c r="Q5" s="73" t="s">
        <v>19</v>
      </c>
      <c r="R5" s="74" t="s">
        <v>20</v>
      </c>
    </row>
    <row r="6" spans="1:26" ht="15.75" thickBot="1">
      <c r="A6" s="59"/>
      <c r="B6" s="7">
        <v>19000</v>
      </c>
      <c r="C6" s="26" t="b">
        <v>1</v>
      </c>
      <c r="D6" s="20">
        <f>IF($C6,성옥표!$D6*2, 성옥표!$B6)</f>
        <v>1960</v>
      </c>
      <c r="E6" s="21">
        <f t="shared" si="0"/>
        <v>12</v>
      </c>
      <c r="F6" s="1">
        <f t="shared" si="1"/>
        <v>0.1031578947368421</v>
      </c>
      <c r="G6" s="22">
        <f t="shared" si="2"/>
        <v>9.6938775510204085</v>
      </c>
      <c r="H6" s="59"/>
      <c r="K6" s="59"/>
      <c r="L6" s="29"/>
      <c r="M6" s="30" t="s">
        <v>11</v>
      </c>
      <c r="N6" s="59"/>
      <c r="O6" s="31">
        <f>MOD(O4+$J$9, 90)</f>
        <v>0</v>
      </c>
      <c r="P6" s="32">
        <f>MOD(P4+$J$9, 80)</f>
        <v>21</v>
      </c>
      <c r="Q6" s="75">
        <f>QUOTIENT(O4+$J$9,90)</f>
        <v>0</v>
      </c>
      <c r="R6" s="76">
        <f>QUOTIENT(P4+$J$9,80)</f>
        <v>0</v>
      </c>
    </row>
    <row r="7" spans="1:26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1">
        <f>QUOTIENT($J$7, $B9)</f>
        <v>0</v>
      </c>
      <c r="K12" s="66"/>
      <c r="N12" s="59"/>
      <c r="Q12" s="59"/>
    </row>
    <row r="13" spans="1:26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1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1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1960</v>
      </c>
      <c r="I15" s="7">
        <v>19000</v>
      </c>
      <c r="J15" s="71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1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2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>
      <c r="B31" s="61"/>
      <c r="D31" s="62"/>
      <c r="E31" s="65"/>
    </row>
    <row r="32" spans="1:17" s="59" customFormat="1">
      <c r="B32" s="61"/>
      <c r="D32" s="62"/>
      <c r="E32" s="65"/>
    </row>
    <row r="33" spans="2:5" s="59" customFormat="1">
      <c r="B33" s="61"/>
      <c r="D33" s="62"/>
      <c r="E33" s="65"/>
    </row>
    <row r="34" spans="2:5" s="59" customFormat="1">
      <c r="B34" s="61"/>
      <c r="D34" s="62"/>
      <c r="E34" s="65"/>
    </row>
    <row r="35" spans="2:5" s="59" customFormat="1">
      <c r="B35" s="61"/>
      <c r="D35" s="62"/>
      <c r="E35" s="65"/>
    </row>
    <row r="36" spans="2:5" s="59" customFormat="1">
      <c r="B36" s="61"/>
      <c r="D36" s="62"/>
      <c r="E36" s="65"/>
    </row>
    <row r="37" spans="2:5" s="59" customFormat="1">
      <c r="B37" s="61"/>
      <c r="D37" s="62"/>
      <c r="E37" s="65"/>
    </row>
    <row r="38" spans="2:5" s="59" customFormat="1">
      <c r="B38" s="61"/>
      <c r="D38" s="62"/>
      <c r="E38" s="65"/>
    </row>
    <row r="39" spans="2:5" s="59" customFormat="1">
      <c r="B39" s="61"/>
      <c r="D39" s="62"/>
      <c r="E39" s="65"/>
    </row>
    <row r="40" spans="2:5" s="59" customFormat="1">
      <c r="B40" s="61"/>
      <c r="D40" s="62"/>
      <c r="E40" s="65"/>
    </row>
    <row r="41" spans="2:5" s="59" customFormat="1">
      <c r="B41" s="61"/>
      <c r="D41" s="62"/>
      <c r="E41" s="65"/>
    </row>
    <row r="42" spans="2:5" s="59" customFormat="1">
      <c r="B42" s="61"/>
      <c r="D42" s="62"/>
      <c r="E42" s="65"/>
    </row>
    <row r="43" spans="2:5" s="59" customFormat="1">
      <c r="B43" s="61"/>
      <c r="D43" s="62"/>
      <c r="E43" s="65"/>
    </row>
    <row r="44" spans="2:5" s="59" customFormat="1">
      <c r="B44" s="61"/>
      <c r="D44" s="62"/>
      <c r="E44" s="65"/>
    </row>
    <row r="45" spans="2:5" s="59" customFormat="1">
      <c r="B45" s="61"/>
      <c r="D45" s="62"/>
      <c r="E45" s="65"/>
    </row>
    <row r="46" spans="2:5" s="59" customFormat="1">
      <c r="B46" s="61"/>
      <c r="D46" s="62"/>
      <c r="E46" s="65"/>
    </row>
    <row r="47" spans="2:5" s="59" customFormat="1">
      <c r="B47" s="61"/>
      <c r="D47" s="62"/>
      <c r="E47" s="65"/>
    </row>
    <row r="48" spans="2:5" s="59" customFormat="1">
      <c r="B48" s="61"/>
      <c r="D48" s="62"/>
      <c r="E48" s="65"/>
    </row>
    <row r="49" spans="2:5" s="59" customFormat="1">
      <c r="B49" s="61"/>
      <c r="D49" s="62"/>
      <c r="E49" s="65"/>
    </row>
    <row r="50" spans="2:5" s="59" customFormat="1">
      <c r="B50" s="61"/>
      <c r="D50" s="62"/>
      <c r="E50" s="65"/>
    </row>
    <row r="51" spans="2:5" s="59" customFormat="1">
      <c r="B51" s="61"/>
      <c r="D51" s="62"/>
      <c r="E51" s="65"/>
    </row>
    <row r="52" spans="2:5" s="59" customFormat="1">
      <c r="B52" s="61"/>
      <c r="D52" s="62"/>
      <c r="E52" s="65"/>
    </row>
    <row r="53" spans="2:5" s="59" customFormat="1">
      <c r="B53" s="61"/>
      <c r="D53" s="62"/>
      <c r="E53" s="65"/>
    </row>
    <row r="54" spans="2:5" s="59" customFormat="1">
      <c r="B54" s="61"/>
      <c r="D54" s="62"/>
      <c r="E54" s="65"/>
    </row>
    <row r="55" spans="2:5" s="59" customFormat="1">
      <c r="B55" s="61"/>
      <c r="D55" s="62"/>
      <c r="E55" s="65"/>
    </row>
    <row r="56" spans="2:5" s="59" customFormat="1">
      <c r="B56" s="61"/>
      <c r="D56" s="62"/>
      <c r="E56" s="65"/>
    </row>
    <row r="57" spans="2:5" s="59" customFormat="1">
      <c r="B57" s="61"/>
      <c r="D57" s="62"/>
      <c r="E57" s="65"/>
    </row>
    <row r="58" spans="2:5" s="59" customFormat="1">
      <c r="B58" s="61"/>
      <c r="D58" s="62"/>
      <c r="E58" s="65"/>
    </row>
    <row r="59" spans="2:5" s="59" customFormat="1">
      <c r="B59" s="61"/>
      <c r="D59" s="62"/>
      <c r="E59" s="65"/>
    </row>
    <row r="60" spans="2:5" s="59" customFormat="1">
      <c r="B60" s="61"/>
      <c r="D60" s="62"/>
      <c r="E60" s="65"/>
    </row>
    <row r="61" spans="2:5" s="59" customFormat="1">
      <c r="B61" s="61"/>
      <c r="D61" s="62"/>
      <c r="E61" s="65"/>
    </row>
    <row r="62" spans="2:5" s="59" customFormat="1">
      <c r="B62" s="61"/>
      <c r="D62" s="62"/>
      <c r="E62" s="65"/>
    </row>
    <row r="63" spans="2:5" s="59" customFormat="1">
      <c r="B63" s="61"/>
      <c r="D63" s="62"/>
      <c r="E63" s="65"/>
    </row>
    <row r="64" spans="2:5" s="59" customFormat="1">
      <c r="B64" s="61"/>
      <c r="D64" s="62"/>
      <c r="E64" s="65"/>
    </row>
    <row r="65" spans="2:5" s="59" customFormat="1">
      <c r="B65" s="61"/>
      <c r="D65" s="62"/>
      <c r="E65" s="65"/>
    </row>
    <row r="66" spans="2:5" s="59" customFormat="1">
      <c r="B66" s="61"/>
      <c r="D66" s="62"/>
      <c r="E66" s="65"/>
    </row>
    <row r="67" spans="2:5" s="59" customFormat="1">
      <c r="B67" s="61"/>
      <c r="D67" s="62"/>
      <c r="E67" s="65"/>
    </row>
    <row r="68" spans="2:5" s="59" customFormat="1">
      <c r="B68" s="61"/>
      <c r="D68" s="62"/>
      <c r="E68" s="65"/>
    </row>
    <row r="69" spans="2:5" s="59" customFormat="1">
      <c r="B69" s="61"/>
      <c r="D69" s="62"/>
      <c r="E69" s="65"/>
    </row>
    <row r="70" spans="2:5" s="59" customFormat="1">
      <c r="B70" s="61"/>
      <c r="D70" s="62"/>
      <c r="E70" s="65"/>
    </row>
    <row r="71" spans="2:5" s="59" customFormat="1">
      <c r="B71" s="61"/>
      <c r="D71" s="62"/>
      <c r="E71" s="65"/>
    </row>
    <row r="72" spans="2:5" s="59" customFormat="1">
      <c r="B72" s="61"/>
      <c r="D72" s="62"/>
      <c r="E72" s="65"/>
    </row>
    <row r="73" spans="2:5" s="59" customFormat="1">
      <c r="B73" s="61"/>
      <c r="D73" s="62"/>
      <c r="E73" s="65"/>
    </row>
    <row r="74" spans="2:5" s="59" customFormat="1">
      <c r="B74" s="61"/>
      <c r="D74" s="62"/>
      <c r="E74" s="65"/>
    </row>
    <row r="75" spans="2:5" s="59" customFormat="1">
      <c r="B75" s="61"/>
      <c r="D75" s="62"/>
      <c r="E75" s="65"/>
    </row>
    <row r="76" spans="2:5" s="59" customFormat="1">
      <c r="B76" s="61"/>
      <c r="D76" s="62"/>
      <c r="E76" s="65"/>
    </row>
    <row r="77" spans="2:5" s="59" customFormat="1">
      <c r="B77" s="61"/>
      <c r="D77" s="62"/>
      <c r="E77" s="65"/>
    </row>
    <row r="78" spans="2:5" s="59" customFormat="1">
      <c r="B78" s="61"/>
      <c r="D78" s="62"/>
      <c r="E78" s="65"/>
    </row>
    <row r="79" spans="2:5" s="59" customFormat="1">
      <c r="B79" s="61"/>
      <c r="D79" s="62"/>
      <c r="E79" s="65"/>
    </row>
    <row r="80" spans="2:5" s="59" customFormat="1">
      <c r="B80" s="61"/>
      <c r="D80" s="62"/>
      <c r="E80" s="65"/>
    </row>
    <row r="81" spans="2:5" s="59" customFormat="1">
      <c r="B81" s="61"/>
      <c r="D81" s="62"/>
      <c r="E81" s="65"/>
    </row>
    <row r="82" spans="2:5" s="59" customFormat="1">
      <c r="B82" s="61"/>
      <c r="D82" s="62"/>
      <c r="E82" s="65"/>
    </row>
    <row r="83" spans="2:5" s="59" customFormat="1">
      <c r="B83" s="61"/>
      <c r="D83" s="62"/>
      <c r="E83" s="65"/>
    </row>
    <row r="84" spans="2:5" s="59" customFormat="1">
      <c r="B84" s="61"/>
      <c r="D84" s="62"/>
      <c r="E84" s="65"/>
    </row>
    <row r="85" spans="2:5" s="59" customFormat="1">
      <c r="B85" s="61"/>
      <c r="D85" s="62"/>
      <c r="E85" s="65"/>
    </row>
    <row r="86" spans="2:5" s="59" customFormat="1">
      <c r="B86" s="61"/>
      <c r="D86" s="62"/>
      <c r="E86" s="65"/>
    </row>
    <row r="87" spans="2:5" s="59" customFormat="1">
      <c r="B87" s="61"/>
      <c r="D87" s="62"/>
      <c r="E87" s="65"/>
    </row>
    <row r="88" spans="2:5" s="59" customFormat="1">
      <c r="B88" s="61"/>
      <c r="D88" s="62"/>
      <c r="E88" s="65"/>
    </row>
    <row r="89" spans="2:5" s="59" customFormat="1">
      <c r="B89" s="61"/>
      <c r="D89" s="62"/>
      <c r="E89" s="65"/>
    </row>
    <row r="90" spans="2:5" s="59" customFormat="1">
      <c r="B90" s="61"/>
      <c r="D90" s="62"/>
      <c r="E90" s="65"/>
    </row>
    <row r="91" spans="2:5" s="59" customFormat="1">
      <c r="B91" s="61"/>
      <c r="D91" s="62"/>
      <c r="E91" s="65"/>
    </row>
    <row r="92" spans="2:5" s="59" customFormat="1">
      <c r="B92" s="61"/>
      <c r="D92" s="62"/>
      <c r="E92" s="65"/>
    </row>
    <row r="93" spans="2:5" s="59" customFormat="1">
      <c r="B93" s="61"/>
      <c r="D93" s="62"/>
      <c r="E93" s="65"/>
    </row>
    <row r="94" spans="2:5" s="59" customFormat="1">
      <c r="B94" s="61"/>
      <c r="D94" s="62"/>
      <c r="E94" s="65"/>
    </row>
    <row r="95" spans="2:5" s="59" customFormat="1">
      <c r="B95" s="61"/>
      <c r="D95" s="62"/>
      <c r="E95" s="65"/>
    </row>
    <row r="96" spans="2:5" s="59" customFormat="1">
      <c r="B96" s="61"/>
      <c r="D96" s="62"/>
      <c r="E96" s="65"/>
    </row>
    <row r="97" spans="2:5" s="59" customFormat="1">
      <c r="B97" s="61"/>
      <c r="D97" s="62"/>
      <c r="E97" s="65"/>
    </row>
    <row r="98" spans="2:5" s="59" customFormat="1">
      <c r="B98" s="61"/>
      <c r="D98" s="62"/>
      <c r="E98" s="65"/>
    </row>
    <row r="99" spans="2:5" s="59" customFormat="1">
      <c r="B99" s="61"/>
      <c r="D99" s="62"/>
      <c r="E99" s="65"/>
    </row>
    <row r="100" spans="2:5" s="59" customFormat="1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/>
  <cols>
    <col min="1" max="1" width="7.21875" customWidth="1"/>
  </cols>
  <sheetData>
    <row r="3" spans="1:4">
      <c r="B3" s="70" t="s">
        <v>13</v>
      </c>
      <c r="C3" s="70" t="s">
        <v>14</v>
      </c>
      <c r="D3" s="70" t="s">
        <v>15</v>
      </c>
    </row>
    <row r="4" spans="1:4">
      <c r="A4" s="68">
        <v>1200</v>
      </c>
      <c r="B4" s="69">
        <f>D4+C4</f>
        <v>60</v>
      </c>
      <c r="C4" s="69">
        <v>0</v>
      </c>
      <c r="D4" s="69">
        <v>60</v>
      </c>
    </row>
    <row r="5" spans="1:4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2026-02-17T14:39:39Z</dcterms:modified>
</cp:coreProperties>
</file>